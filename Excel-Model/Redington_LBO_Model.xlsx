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k-my.sharepoint.com/personal/aarichsunb24_iitk_ac_in/Documents/Redington_LBO_Model/"/>
    </mc:Choice>
  </mc:AlternateContent>
  <xr:revisionPtr revIDLastSave="0" documentId="8_{49748607-A0C0-6440-A43A-60CDEEA005DD}" xr6:coauthVersionLast="47" xr6:coauthVersionMax="47" xr10:uidLastSave="{00000000-0000-0000-0000-000000000000}"/>
  <bookViews>
    <workbookView xWindow="11460" yWindow="760" windowWidth="17240" windowHeight="17240" firstSheet="2" activeTab="5" xr2:uid="{3F9B469A-2B49-0241-80C8-4313F892E764}"/>
  </bookViews>
  <sheets>
    <sheet name="Cover" sheetId="1" r:id="rId1"/>
    <sheet name="Historical" sheetId="2" r:id="rId2"/>
    <sheet name="Assumptions" sheetId="3" r:id="rId3"/>
    <sheet name="Entry Valuation" sheetId="4" r:id="rId4"/>
    <sheet name="Sources &amp;Uses" sheetId="5" r:id="rId5"/>
    <sheet name="Operating Model" sheetId="6" r:id="rId6"/>
    <sheet name="Debt Schedule" sheetId="7" r:id="rId7"/>
    <sheet name="Return Analysis" sheetId="8" r:id="rId8"/>
    <sheet name="Sensitivity Analysis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7" l="1"/>
  <c r="C4" i="7"/>
  <c r="D4" i="7"/>
  <c r="E4" i="7"/>
  <c r="F4" i="7"/>
  <c r="B10" i="5"/>
  <c r="B8" i="5"/>
  <c r="B9" i="5"/>
  <c r="B5" i="5"/>
  <c r="B7" i="4"/>
  <c r="B4" i="4"/>
  <c r="B4" i="2"/>
  <c r="C4" i="2"/>
  <c r="D4" i="2"/>
  <c r="E4" i="2"/>
  <c r="F4" i="2"/>
  <c r="B6" i="8" l="1"/>
</calcChain>
</file>

<file path=xl/sharedStrings.xml><?xml version="1.0" encoding="utf-8"?>
<sst xmlns="http://schemas.openxmlformats.org/spreadsheetml/2006/main" count="104" uniqueCount="83">
  <si>
    <t>Revenue</t>
  </si>
  <si>
    <t>EBITDA</t>
  </si>
  <si>
    <t>EBIT</t>
  </si>
  <si>
    <t>PAT</t>
  </si>
  <si>
    <t>Cash</t>
  </si>
  <si>
    <t>Total Debt</t>
  </si>
  <si>
    <t>FY21</t>
  </si>
  <si>
    <t>FY22</t>
  </si>
  <si>
    <t>FY23</t>
  </si>
  <si>
    <t>FY24</t>
  </si>
  <si>
    <t>FY25</t>
  </si>
  <si>
    <t>EBITDA Margin</t>
  </si>
  <si>
    <t>Assumption</t>
  </si>
  <si>
    <t>Value</t>
  </si>
  <si>
    <t>Entry EV/EBITDA</t>
  </si>
  <si>
    <t>Exit EV/EBITDA</t>
  </si>
  <si>
    <t>Revenue Growth</t>
  </si>
  <si>
    <t>Tax Rate</t>
  </si>
  <si>
    <t>Interest Rate</t>
  </si>
  <si>
    <t>Holding Period</t>
  </si>
  <si>
    <t>Metric</t>
  </si>
  <si>
    <t>FY25 EBITDA</t>
  </si>
  <si>
    <t>Entry EV/EBITDA Multiple</t>
  </si>
  <si>
    <t>Enterprise Value</t>
  </si>
  <si>
    <t>Equity Value</t>
  </si>
  <si>
    <t>USES</t>
  </si>
  <si>
    <t>Equity Purchase</t>
  </si>
  <si>
    <t>Debt  Assumed</t>
  </si>
  <si>
    <t>Transaction Fees</t>
  </si>
  <si>
    <t>Total Uses</t>
  </si>
  <si>
    <t>SOURCES</t>
  </si>
  <si>
    <t>Sponsor Equity</t>
  </si>
  <si>
    <t>New Debt</t>
  </si>
  <si>
    <t>Total Sources</t>
  </si>
  <si>
    <t>FY25A</t>
  </si>
  <si>
    <t>FY26E</t>
  </si>
  <si>
    <t>FY27E</t>
  </si>
  <si>
    <t>FY28E</t>
  </si>
  <si>
    <t>FY29E</t>
  </si>
  <si>
    <t>FY30E</t>
  </si>
  <si>
    <t>Growth %</t>
  </si>
  <si>
    <t xml:space="preserve">EBITDA </t>
  </si>
  <si>
    <t>Depreciation</t>
  </si>
  <si>
    <t>EBITDA Growth</t>
  </si>
  <si>
    <t>Opening Debt</t>
  </si>
  <si>
    <t>Mandatory Repayment</t>
  </si>
  <si>
    <t>Closing Debt</t>
  </si>
  <si>
    <t>Interest Expense</t>
  </si>
  <si>
    <t>Exit EBITDA (FY30)</t>
  </si>
  <si>
    <t>Exit EV/EBITDA Multiple</t>
  </si>
  <si>
    <t>Exit Enterprise Value</t>
  </si>
  <si>
    <t>Less : Remaining Debt</t>
  </si>
  <si>
    <t>Exit Equity Value</t>
  </si>
  <si>
    <t>Initial Equity Invested</t>
  </si>
  <si>
    <t>Money-on-Money (MoM)</t>
  </si>
  <si>
    <t>IRR (%)</t>
  </si>
  <si>
    <t>4.31x</t>
  </si>
  <si>
    <t>8.5x</t>
  </si>
  <si>
    <t>GROWTH/EXIT MULTIPLE</t>
  </si>
  <si>
    <t>IRR SENSITIVITY (%)</t>
  </si>
  <si>
    <t>7.5x</t>
  </si>
  <si>
    <t>8.0x</t>
  </si>
  <si>
    <t>9.0x</t>
  </si>
  <si>
    <t>9.5x</t>
  </si>
  <si>
    <t>Company</t>
  </si>
  <si>
    <t>Transaction Type</t>
  </si>
  <si>
    <t>Leveraged Buyout</t>
  </si>
  <si>
    <t>Entry EV</t>
  </si>
  <si>
    <t>Entry Multiple</t>
  </si>
  <si>
    <t>Exit Multiple</t>
  </si>
  <si>
    <t>8.50x</t>
  </si>
  <si>
    <t>Debt Financing</t>
  </si>
  <si>
    <t>MoM Return</t>
  </si>
  <si>
    <t>IRR</t>
  </si>
  <si>
    <t>REDINGTON LIMITED
LEVERAGED BUYOUT ANALYSIS</t>
  </si>
  <si>
    <t>LEVERAGED BUYOUT ANALYSIS</t>
  </si>
  <si>
    <t>INVESTMENT THESIS</t>
  </si>
  <si>
    <t>Redington Limited</t>
  </si>
  <si>
    <t>₹9,096 Cr</t>
  </si>
  <si>
    <t>₹3,711Cr</t>
  </si>
  <si>
    <t>₹5,567 Cr</t>
  </si>
  <si>
    <t>₹15,990 Cr</t>
  </si>
  <si>
    <t xml:space="preserve"> •Market-leading technology distribution platform with presence across India, Middle East and Africa.
• Revenue increased from ₹22,721 Cr in FY21 to ₹48,902 Cr in FY25 (~21% CAGR).
• Asset-light operating model with stable EBITDA margins and strong scalability.
• Base-case transaction generates 4.3x MoM and ~34% IRR over a 5-year investment horizon.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</si>
</sst>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EAE6-E029-8347-9468-21438C5CD78D}">
  <dimension ref="A1:B29"/>
  <sheetViews>
    <sheetView workbookViewId="0">
      <selection activeCell="B17" sqref="B17"/>
    </sheetView>
  </sheetViews>
  <sheetFormatPr baseColWidth="10" defaultRowHeight="16" x14ac:dyDescent="0.2"/>
  <cols>
    <col min="1" max="1" width="49" customWidth="1"/>
    <col min="2" max="2" width="21.6640625" customWidth="1"/>
  </cols>
  <sheetData>
    <row r="1" spans="1:2" x14ac:dyDescent="0.2">
      <c r="A1" s="8" t="s">
        <v>74</v>
      </c>
      <c r="B1" s="7"/>
    </row>
    <row r="2" spans="1:2" x14ac:dyDescent="0.2">
      <c r="A2" s="8" t="s">
        <v>75</v>
      </c>
      <c r="B2" s="8"/>
    </row>
    <row r="3" spans="1:2" x14ac:dyDescent="0.2">
      <c r="A3" t="s">
        <v>64</v>
      </c>
      <c r="B3" s="5" t="s">
        <v>77</v>
      </c>
    </row>
    <row r="4" spans="1:2" x14ac:dyDescent="0.2">
      <c r="A4" t="s">
        <v>65</v>
      </c>
      <c r="B4" s="5" t="s">
        <v>66</v>
      </c>
    </row>
    <row r="5" spans="1:2" x14ac:dyDescent="0.2">
      <c r="A5" t="s">
        <v>67</v>
      </c>
      <c r="B5" s="5" t="s">
        <v>78</v>
      </c>
    </row>
    <row r="6" spans="1:2" x14ac:dyDescent="0.2">
      <c r="A6" t="s">
        <v>68</v>
      </c>
      <c r="B6" s="5" t="s">
        <v>61</v>
      </c>
    </row>
    <row r="7" spans="1:2" x14ac:dyDescent="0.2">
      <c r="A7" t="s">
        <v>69</v>
      </c>
      <c r="B7" s="5" t="s">
        <v>70</v>
      </c>
    </row>
    <row r="8" spans="1:2" x14ac:dyDescent="0.2">
      <c r="A8" t="s">
        <v>31</v>
      </c>
      <c r="B8" s="5" t="s">
        <v>79</v>
      </c>
    </row>
    <row r="9" spans="1:2" x14ac:dyDescent="0.2">
      <c r="A9" t="s">
        <v>71</v>
      </c>
      <c r="B9" s="5" t="s">
        <v>80</v>
      </c>
    </row>
    <row r="10" spans="1:2" x14ac:dyDescent="0.2">
      <c r="A10" t="s">
        <v>52</v>
      </c>
      <c r="B10" s="5" t="s">
        <v>81</v>
      </c>
    </row>
    <row r="11" spans="1:2" x14ac:dyDescent="0.2">
      <c r="A11" t="s">
        <v>72</v>
      </c>
      <c r="B11" s="5" t="s">
        <v>56</v>
      </c>
    </row>
    <row r="12" spans="1:2" x14ac:dyDescent="0.2">
      <c r="A12" t="s">
        <v>73</v>
      </c>
      <c r="B12" s="6">
        <v>0.33800000000000002</v>
      </c>
    </row>
    <row r="13" spans="1:2" x14ac:dyDescent="0.2">
      <c r="B13" s="6"/>
    </row>
    <row r="14" spans="1:2" x14ac:dyDescent="0.2">
      <c r="A14" s="10" t="s">
        <v>76</v>
      </c>
      <c r="B14" s="10"/>
    </row>
    <row r="15" spans="1:2" ht="187" x14ac:dyDescent="0.2">
      <c r="A15" s="9" t="s">
        <v>82</v>
      </c>
      <c r="B15" s="9"/>
    </row>
    <row r="16" spans="1:2" x14ac:dyDescent="0.2">
      <c r="A16" s="9"/>
      <c r="B16" s="9"/>
    </row>
    <row r="17" spans="1:2" x14ac:dyDescent="0.2">
      <c r="A17" s="9"/>
      <c r="B17" s="9"/>
    </row>
    <row r="18" spans="1:2" x14ac:dyDescent="0.2">
      <c r="A18" s="9"/>
      <c r="B18" s="9"/>
    </row>
    <row r="19" spans="1:2" x14ac:dyDescent="0.2">
      <c r="A19" s="9"/>
      <c r="B19" s="9"/>
    </row>
    <row r="20" spans="1:2" x14ac:dyDescent="0.2">
      <c r="A20" s="9"/>
      <c r="B20" s="9"/>
    </row>
    <row r="21" spans="1:2" x14ac:dyDescent="0.2">
      <c r="A21" s="9"/>
      <c r="B21" s="9"/>
    </row>
    <row r="22" spans="1:2" x14ac:dyDescent="0.2">
      <c r="A22" s="9"/>
      <c r="B22" s="9"/>
    </row>
    <row r="23" spans="1:2" x14ac:dyDescent="0.2">
      <c r="A23" s="9"/>
      <c r="B23" s="9"/>
    </row>
    <row r="24" spans="1:2" x14ac:dyDescent="0.2">
      <c r="A24" s="9"/>
      <c r="B24" s="9"/>
    </row>
    <row r="25" spans="1:2" x14ac:dyDescent="0.2">
      <c r="A25" s="9"/>
      <c r="B25" s="9"/>
    </row>
    <row r="26" spans="1:2" x14ac:dyDescent="0.2">
      <c r="A26" s="9"/>
      <c r="B26" s="9"/>
    </row>
    <row r="27" spans="1:2" x14ac:dyDescent="0.2">
      <c r="A27" s="9"/>
      <c r="B27" s="9"/>
    </row>
    <row r="28" spans="1:2" x14ac:dyDescent="0.2">
      <c r="A28" s="9"/>
      <c r="B28" s="9"/>
    </row>
    <row r="29" spans="1:2" x14ac:dyDescent="0.2">
      <c r="A29" s="9"/>
      <c r="B29" s="9"/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48A6-91B7-2F4D-BC6B-DFD53BB89F39}">
  <dimension ref="A1:F7"/>
  <sheetViews>
    <sheetView workbookViewId="0">
      <selection activeCell="G7" sqref="G7"/>
    </sheetView>
  </sheetViews>
  <sheetFormatPr baseColWidth="10" defaultRowHeight="16" x14ac:dyDescent="0.2"/>
  <cols>
    <col min="1" max="1" width="17" customWidth="1"/>
  </cols>
  <sheetData>
    <row r="1" spans="1:6" x14ac:dyDescent="0.2"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 t="s">
        <v>0</v>
      </c>
      <c r="B2" s="1">
        <v>22721</v>
      </c>
      <c r="C2" s="1">
        <v>27019</v>
      </c>
      <c r="D2" s="1">
        <v>35341</v>
      </c>
      <c r="E2" s="1">
        <v>41228</v>
      </c>
      <c r="F2" s="1">
        <v>48902</v>
      </c>
    </row>
    <row r="3" spans="1:6" x14ac:dyDescent="0.2">
      <c r="A3" t="s">
        <v>1</v>
      </c>
      <c r="B3">
        <v>471</v>
      </c>
      <c r="C3">
        <v>658</v>
      </c>
      <c r="D3">
        <v>864</v>
      </c>
      <c r="E3" s="1">
        <v>1017</v>
      </c>
      <c r="F3" s="1">
        <v>1137</v>
      </c>
    </row>
    <row r="4" spans="1:6" x14ac:dyDescent="0.2">
      <c r="A4" t="s">
        <v>11</v>
      </c>
      <c r="B4">
        <f>B3/B2 * 100</f>
        <v>2.0729721403107257</v>
      </c>
      <c r="C4">
        <f t="shared" ref="C4:F4" si="0">C3/C2 * 100</f>
        <v>2.4353232910174318</v>
      </c>
      <c r="D4">
        <f t="shared" si="0"/>
        <v>2.4447525536911803</v>
      </c>
      <c r="E4">
        <f t="shared" si="0"/>
        <v>2.4667701562045212</v>
      </c>
      <c r="F4">
        <f t="shared" si="0"/>
        <v>2.3250582798249559</v>
      </c>
    </row>
    <row r="5" spans="1:6" x14ac:dyDescent="0.2">
      <c r="A5" t="s">
        <v>2</v>
      </c>
      <c r="B5">
        <v>443</v>
      </c>
      <c r="C5">
        <v>628</v>
      </c>
      <c r="D5">
        <v>838</v>
      </c>
      <c r="E5">
        <v>981</v>
      </c>
      <c r="F5" s="1">
        <v>1094</v>
      </c>
    </row>
    <row r="6" spans="1:6" x14ac:dyDescent="0.2">
      <c r="A6" t="s">
        <v>3</v>
      </c>
      <c r="B6">
        <v>263</v>
      </c>
      <c r="C6">
        <v>935</v>
      </c>
      <c r="D6" s="1">
        <v>1072</v>
      </c>
      <c r="E6" s="1">
        <v>1081</v>
      </c>
      <c r="F6" s="1">
        <v>1444</v>
      </c>
    </row>
    <row r="7" spans="1:6" x14ac:dyDescent="0.2">
      <c r="A7" t="s">
        <v>5</v>
      </c>
      <c r="B7">
        <v>22</v>
      </c>
      <c r="C7">
        <v>21</v>
      </c>
      <c r="D7">
        <v>1562</v>
      </c>
      <c r="E7" s="1">
        <v>1603</v>
      </c>
      <c r="F7" s="1">
        <v>1416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823A-4920-744A-BE41-CDF29522A54E}">
  <dimension ref="A1:B8"/>
  <sheetViews>
    <sheetView zoomScale="125" workbookViewId="0">
      <selection activeCell="B17" sqref="B17"/>
    </sheetView>
  </sheetViews>
  <sheetFormatPr baseColWidth="10" defaultRowHeight="16" x14ac:dyDescent="0.2"/>
  <cols>
    <col min="1" max="2" width="21.83203125" customWidth="1"/>
  </cols>
  <sheetData>
    <row r="1" spans="1:2" x14ac:dyDescent="0.2">
      <c r="A1" s="4" t="s">
        <v>12</v>
      </c>
      <c r="B1" s="4" t="s">
        <v>13</v>
      </c>
    </row>
    <row r="2" spans="1:2" x14ac:dyDescent="0.2">
      <c r="A2" t="s">
        <v>14</v>
      </c>
      <c r="B2">
        <v>8</v>
      </c>
    </row>
    <row r="3" spans="1:2" x14ac:dyDescent="0.2">
      <c r="A3" t="s">
        <v>15</v>
      </c>
      <c r="B3">
        <v>8.5</v>
      </c>
    </row>
    <row r="4" spans="1:2" x14ac:dyDescent="0.2">
      <c r="A4" t="s">
        <v>16</v>
      </c>
      <c r="B4" s="2">
        <v>0.08</v>
      </c>
    </row>
    <row r="5" spans="1:2" x14ac:dyDescent="0.2">
      <c r="A5" t="s">
        <v>11</v>
      </c>
      <c r="B5" s="3">
        <v>2.5000000000000001E-2</v>
      </c>
    </row>
    <row r="6" spans="1:2" x14ac:dyDescent="0.2">
      <c r="A6" t="s">
        <v>17</v>
      </c>
      <c r="B6" s="2">
        <v>0.25</v>
      </c>
    </row>
    <row r="7" spans="1:2" x14ac:dyDescent="0.2">
      <c r="A7" t="s">
        <v>18</v>
      </c>
      <c r="B7" s="2">
        <v>0.1</v>
      </c>
    </row>
    <row r="8" spans="1:2" x14ac:dyDescent="0.2">
      <c r="A8" t="s">
        <v>19</v>
      </c>
      <c r="B8" s="2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AAD0-5B0A-B14F-9C78-8C1215401F8F}">
  <dimension ref="A1:B7"/>
  <sheetViews>
    <sheetView workbookViewId="0">
      <selection activeCell="B12" sqref="B12"/>
    </sheetView>
  </sheetViews>
  <sheetFormatPr baseColWidth="10" defaultRowHeight="16" x14ac:dyDescent="0.2"/>
  <cols>
    <col min="1" max="1" width="21.83203125" customWidth="1"/>
    <col min="2" max="2" width="21.6640625" customWidth="1"/>
  </cols>
  <sheetData>
    <row r="1" spans="1:2" x14ac:dyDescent="0.2">
      <c r="A1" t="s">
        <v>20</v>
      </c>
      <c r="B1" t="s">
        <v>13</v>
      </c>
    </row>
    <row r="2" spans="1:2" x14ac:dyDescent="0.2">
      <c r="A2" t="s">
        <v>21</v>
      </c>
      <c r="B2">
        <v>1137</v>
      </c>
    </row>
    <row r="3" spans="1:2" x14ac:dyDescent="0.2">
      <c r="A3" t="s">
        <v>22</v>
      </c>
      <c r="B3">
        <v>8</v>
      </c>
    </row>
    <row r="4" spans="1:2" x14ac:dyDescent="0.2">
      <c r="A4" t="s">
        <v>23</v>
      </c>
      <c r="B4">
        <f>B2*B3</f>
        <v>9096</v>
      </c>
    </row>
    <row r="5" spans="1:2" x14ac:dyDescent="0.2">
      <c r="A5" t="s">
        <v>5</v>
      </c>
      <c r="B5">
        <v>1416</v>
      </c>
    </row>
    <row r="6" spans="1:2" x14ac:dyDescent="0.2">
      <c r="A6" t="s">
        <v>4</v>
      </c>
      <c r="B6">
        <v>0</v>
      </c>
    </row>
    <row r="7" spans="1:2" x14ac:dyDescent="0.2">
      <c r="A7" t="s">
        <v>24</v>
      </c>
      <c r="B7">
        <f>B4-B5+B6</f>
        <v>7680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0E78A-DD5F-B64F-AA9F-5E0869E3BFF4}">
  <dimension ref="A1:B10"/>
  <sheetViews>
    <sheetView workbookViewId="0">
      <selection activeCell="C11" sqref="C11"/>
    </sheetView>
  </sheetViews>
  <sheetFormatPr baseColWidth="10" defaultRowHeight="16" x14ac:dyDescent="0.2"/>
  <cols>
    <col min="1" max="1" width="21.83203125" customWidth="1"/>
  </cols>
  <sheetData>
    <row r="1" spans="1:2" x14ac:dyDescent="0.2">
      <c r="A1" t="s">
        <v>25</v>
      </c>
    </row>
    <row r="2" spans="1:2" x14ac:dyDescent="0.2">
      <c r="A2" t="s">
        <v>26</v>
      </c>
      <c r="B2">
        <v>7680</v>
      </c>
    </row>
    <row r="3" spans="1:2" x14ac:dyDescent="0.2">
      <c r="A3" t="s">
        <v>27</v>
      </c>
      <c r="B3">
        <v>1416</v>
      </c>
    </row>
    <row r="4" spans="1:2" x14ac:dyDescent="0.2">
      <c r="A4" t="s">
        <v>28</v>
      </c>
      <c r="B4">
        <v>182</v>
      </c>
    </row>
    <row r="5" spans="1:2" x14ac:dyDescent="0.2">
      <c r="A5" t="s">
        <v>29</v>
      </c>
      <c r="B5">
        <f>B2+B3+B4</f>
        <v>9278</v>
      </c>
    </row>
    <row r="7" spans="1:2" x14ac:dyDescent="0.2">
      <c r="A7" t="s">
        <v>30</v>
      </c>
    </row>
    <row r="8" spans="1:2" x14ac:dyDescent="0.2">
      <c r="A8" t="s">
        <v>31</v>
      </c>
      <c r="B8">
        <f>B5-B9</f>
        <v>3711.2</v>
      </c>
    </row>
    <row r="9" spans="1:2" x14ac:dyDescent="0.2">
      <c r="A9" t="s">
        <v>32</v>
      </c>
      <c r="B9">
        <f>0.6*B5</f>
        <v>5566.8</v>
      </c>
    </row>
    <row r="10" spans="1:2" x14ac:dyDescent="0.2">
      <c r="A10" t="s">
        <v>33</v>
      </c>
      <c r="B10">
        <f>B8+B9</f>
        <v>9278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80CE-A363-E34A-B082-3C876853B62B}">
  <dimension ref="A1:G8"/>
  <sheetViews>
    <sheetView tabSelected="1" workbookViewId="0">
      <selection activeCell="H1" sqref="H1"/>
    </sheetView>
  </sheetViews>
  <sheetFormatPr baseColWidth="10" defaultRowHeight="16" x14ac:dyDescent="0.2"/>
  <cols>
    <col min="1" max="1" width="16" customWidth="1"/>
  </cols>
  <sheetData>
    <row r="1" spans="1:7" x14ac:dyDescent="0.2">
      <c r="A1" t="s">
        <v>20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 x14ac:dyDescent="0.2">
      <c r="A2" t="s">
        <v>0</v>
      </c>
      <c r="B2">
        <v>48902</v>
      </c>
      <c r="C2">
        <v>56237</v>
      </c>
      <c r="D2">
        <v>62986</v>
      </c>
      <c r="E2">
        <v>69284</v>
      </c>
      <c r="F2">
        <v>74827</v>
      </c>
      <c r="G2">
        <v>80065</v>
      </c>
    </row>
    <row r="3" spans="1:7" x14ac:dyDescent="0.2">
      <c r="A3" t="s">
        <v>40</v>
      </c>
      <c r="C3" s="2">
        <v>0.15</v>
      </c>
      <c r="D3" s="2">
        <v>0.12</v>
      </c>
      <c r="E3" s="2">
        <v>0.1</v>
      </c>
      <c r="F3" s="2">
        <v>0.08</v>
      </c>
      <c r="G3" s="2">
        <v>7.0000000000000007E-2</v>
      </c>
    </row>
    <row r="4" spans="1:7" x14ac:dyDescent="0.2">
      <c r="A4" t="s">
        <v>11</v>
      </c>
      <c r="B4" s="3">
        <v>2.3300000000000001E-2</v>
      </c>
      <c r="C4" s="3">
        <v>2.4E-2</v>
      </c>
      <c r="D4" s="3">
        <v>2.5000000000000001E-2</v>
      </c>
      <c r="E4" s="3">
        <v>2.5999999999999999E-2</v>
      </c>
      <c r="F4" s="3">
        <v>2.7E-2</v>
      </c>
      <c r="G4" s="3">
        <v>2.8000000000000001E-2</v>
      </c>
    </row>
    <row r="5" spans="1:7" x14ac:dyDescent="0.2">
      <c r="A5" t="s">
        <v>41</v>
      </c>
      <c r="B5">
        <v>1137</v>
      </c>
      <c r="C5">
        <v>1350</v>
      </c>
      <c r="D5">
        <v>1575</v>
      </c>
      <c r="E5">
        <v>1801</v>
      </c>
      <c r="F5">
        <v>2020</v>
      </c>
      <c r="G5">
        <v>2242</v>
      </c>
    </row>
    <row r="6" spans="1:7" x14ac:dyDescent="0.2">
      <c r="A6" t="s">
        <v>43</v>
      </c>
      <c r="C6" s="3">
        <v>0.187</v>
      </c>
      <c r="D6" s="3">
        <v>0.16700000000000001</v>
      </c>
      <c r="E6" s="3">
        <v>0.14399999999999999</v>
      </c>
      <c r="F6" s="3">
        <v>0.122</v>
      </c>
      <c r="G6" s="2">
        <v>0.11</v>
      </c>
    </row>
    <row r="7" spans="1:7" x14ac:dyDescent="0.2">
      <c r="A7" t="s">
        <v>42</v>
      </c>
      <c r="B7">
        <v>43</v>
      </c>
      <c r="C7">
        <v>45</v>
      </c>
      <c r="D7">
        <v>48</v>
      </c>
      <c r="E7">
        <v>52</v>
      </c>
      <c r="F7">
        <v>56</v>
      </c>
      <c r="G7">
        <v>60</v>
      </c>
    </row>
    <row r="8" spans="1:7" x14ac:dyDescent="0.2">
      <c r="A8" t="s">
        <v>2</v>
      </c>
      <c r="B8">
        <v>1094</v>
      </c>
      <c r="C8">
        <v>1305</v>
      </c>
      <c r="D8">
        <v>1527</v>
      </c>
      <c r="E8">
        <v>1749</v>
      </c>
      <c r="F8">
        <v>1964</v>
      </c>
      <c r="G8">
        <v>2182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8A48-3ED1-7048-B13F-732D595E8A13}">
  <dimension ref="A1:F6"/>
  <sheetViews>
    <sheetView workbookViewId="0">
      <selection activeCell="E11" sqref="E11"/>
    </sheetView>
  </sheetViews>
  <sheetFormatPr baseColWidth="10" defaultRowHeight="16" x14ac:dyDescent="0.2"/>
  <cols>
    <col min="1" max="1" width="21.6640625" customWidth="1"/>
  </cols>
  <sheetData>
    <row r="1" spans="1:6" x14ac:dyDescent="0.2">
      <c r="A1" t="s">
        <v>20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2">
      <c r="A2" t="s">
        <v>44</v>
      </c>
      <c r="B2">
        <v>5567</v>
      </c>
      <c r="C2">
        <v>5067</v>
      </c>
      <c r="D2">
        <v>4567</v>
      </c>
      <c r="E2">
        <v>4067</v>
      </c>
      <c r="F2">
        <v>3567</v>
      </c>
    </row>
    <row r="3" spans="1:6" x14ac:dyDescent="0.2">
      <c r="A3" t="s">
        <v>45</v>
      </c>
      <c r="B3">
        <v>500</v>
      </c>
      <c r="C3">
        <v>500</v>
      </c>
      <c r="D3">
        <v>500</v>
      </c>
      <c r="E3">
        <v>500</v>
      </c>
      <c r="F3">
        <v>500</v>
      </c>
    </row>
    <row r="4" spans="1:6" x14ac:dyDescent="0.2">
      <c r="A4" t="s">
        <v>46</v>
      </c>
      <c r="B4">
        <f t="shared" ref="B4:F4" si="0">B2-B3</f>
        <v>5067</v>
      </c>
      <c r="C4">
        <f t="shared" si="0"/>
        <v>4567</v>
      </c>
      <c r="D4">
        <f t="shared" si="0"/>
        <v>4067</v>
      </c>
      <c r="E4">
        <f t="shared" si="0"/>
        <v>3567</v>
      </c>
      <c r="F4">
        <f t="shared" si="0"/>
        <v>3067</v>
      </c>
    </row>
    <row r="5" spans="1:6" x14ac:dyDescent="0.2">
      <c r="A5" t="s">
        <v>18</v>
      </c>
      <c r="B5" s="2">
        <v>0.1</v>
      </c>
      <c r="C5" s="2">
        <v>0.1</v>
      </c>
      <c r="D5" s="2">
        <v>0.1</v>
      </c>
      <c r="E5" s="2">
        <v>0.1</v>
      </c>
      <c r="F5" s="2">
        <v>0.1</v>
      </c>
    </row>
    <row r="6" spans="1:6" x14ac:dyDescent="0.2">
      <c r="A6" t="s">
        <v>47</v>
      </c>
      <c r="B6">
        <v>557</v>
      </c>
      <c r="C6">
        <v>507</v>
      </c>
      <c r="D6">
        <v>457</v>
      </c>
      <c r="E6">
        <v>407</v>
      </c>
      <c r="F6">
        <v>357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C7F0-BDB1-2C49-9136-243D5195C738}">
  <dimension ref="A1:B9"/>
  <sheetViews>
    <sheetView workbookViewId="0">
      <selection activeCell="B11" sqref="B11"/>
    </sheetView>
  </sheetViews>
  <sheetFormatPr baseColWidth="10" defaultRowHeight="16" x14ac:dyDescent="0.2"/>
  <cols>
    <col min="1" max="1" width="22" customWidth="1"/>
    <col min="2" max="2" width="21.5" customWidth="1"/>
  </cols>
  <sheetData>
    <row r="1" spans="1:2" x14ac:dyDescent="0.2">
      <c r="A1" s="4" t="s">
        <v>20</v>
      </c>
      <c r="B1" s="4" t="s">
        <v>13</v>
      </c>
    </row>
    <row r="2" spans="1:2" x14ac:dyDescent="0.2">
      <c r="A2" t="s">
        <v>48</v>
      </c>
      <c r="B2">
        <v>2242</v>
      </c>
    </row>
    <row r="3" spans="1:2" x14ac:dyDescent="0.2">
      <c r="A3" t="s">
        <v>49</v>
      </c>
      <c r="B3" s="5" t="s">
        <v>57</v>
      </c>
    </row>
    <row r="4" spans="1:2" x14ac:dyDescent="0.2">
      <c r="A4" t="s">
        <v>50</v>
      </c>
      <c r="B4">
        <v>19057</v>
      </c>
    </row>
    <row r="5" spans="1:2" x14ac:dyDescent="0.2">
      <c r="A5" t="s">
        <v>51</v>
      </c>
      <c r="B5">
        <v>3067</v>
      </c>
    </row>
    <row r="6" spans="1:2" x14ac:dyDescent="0.2">
      <c r="A6" t="s">
        <v>52</v>
      </c>
      <c r="B6">
        <f>B4-B5</f>
        <v>15990</v>
      </c>
    </row>
    <row r="7" spans="1:2" x14ac:dyDescent="0.2">
      <c r="A7" t="s">
        <v>53</v>
      </c>
      <c r="B7">
        <v>3711</v>
      </c>
    </row>
    <row r="8" spans="1:2" x14ac:dyDescent="0.2">
      <c r="A8" t="s">
        <v>54</v>
      </c>
      <c r="B8" s="5" t="s">
        <v>56</v>
      </c>
    </row>
    <row r="9" spans="1:2" x14ac:dyDescent="0.2">
      <c r="A9" t="s">
        <v>55</v>
      </c>
      <c r="B9" s="3">
        <v>0.33800000000000002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CF49-4343-8645-9C7B-3CC2651B196C}">
  <dimension ref="A1:F7"/>
  <sheetViews>
    <sheetView workbookViewId="0">
      <selection activeCell="F8" sqref="F8"/>
    </sheetView>
  </sheetViews>
  <sheetFormatPr baseColWidth="10" defaultRowHeight="16" x14ac:dyDescent="0.2"/>
  <cols>
    <col min="1" max="1" width="26.1640625" customWidth="1"/>
  </cols>
  <sheetData>
    <row r="1" spans="1:6" x14ac:dyDescent="0.2">
      <c r="A1" t="s">
        <v>59</v>
      </c>
    </row>
    <row r="2" spans="1:6" x14ac:dyDescent="0.2">
      <c r="A2" t="s">
        <v>58</v>
      </c>
      <c r="B2" t="s">
        <v>60</v>
      </c>
      <c r="C2" t="s">
        <v>61</v>
      </c>
      <c r="D2" t="s">
        <v>57</v>
      </c>
      <c r="E2" t="s">
        <v>62</v>
      </c>
      <c r="F2" t="s">
        <v>63</v>
      </c>
    </row>
    <row r="3" spans="1:6" x14ac:dyDescent="0.2">
      <c r="A3" s="2">
        <v>0.1</v>
      </c>
      <c r="B3" s="2">
        <v>0.22</v>
      </c>
      <c r="C3" s="2">
        <v>0.24</v>
      </c>
      <c r="D3" s="2">
        <v>0.26</v>
      </c>
      <c r="E3" s="2">
        <v>0.28000000000000003</v>
      </c>
      <c r="F3" s="2">
        <v>0.3</v>
      </c>
    </row>
    <row r="4" spans="1:6" x14ac:dyDescent="0.2">
      <c r="A4" s="2">
        <v>0.12</v>
      </c>
      <c r="B4" s="2">
        <v>0.25</v>
      </c>
      <c r="C4" s="2">
        <v>0.27</v>
      </c>
      <c r="D4" s="2">
        <v>0.28999999999999998</v>
      </c>
      <c r="E4" s="2">
        <v>0.31</v>
      </c>
      <c r="F4" s="2">
        <v>0.33</v>
      </c>
    </row>
    <row r="5" spans="1:6" x14ac:dyDescent="0.2">
      <c r="A5" s="2">
        <v>0.15</v>
      </c>
      <c r="B5" s="2">
        <v>0.28999999999999998</v>
      </c>
      <c r="C5" s="2">
        <v>0.31</v>
      </c>
      <c r="D5" s="2">
        <v>0.34</v>
      </c>
      <c r="E5" s="2">
        <v>0.36</v>
      </c>
      <c r="F5" s="2">
        <v>0.39</v>
      </c>
    </row>
    <row r="6" spans="1:6" x14ac:dyDescent="0.2">
      <c r="A6" s="2">
        <v>0.18</v>
      </c>
      <c r="B6" s="2">
        <v>0.32</v>
      </c>
      <c r="C6" s="2">
        <v>0.35</v>
      </c>
      <c r="D6" s="2">
        <v>0.38</v>
      </c>
      <c r="E6" s="2">
        <v>0.4</v>
      </c>
      <c r="F6" s="2">
        <v>0.43</v>
      </c>
    </row>
    <row r="7" spans="1:6" x14ac:dyDescent="0.2">
      <c r="A7" s="2">
        <v>0.2</v>
      </c>
      <c r="B7" s="2">
        <v>0.35</v>
      </c>
      <c r="C7" s="2">
        <v>0.38</v>
      </c>
      <c r="D7" s="2">
        <v>0.41</v>
      </c>
      <c r="E7" s="2">
        <v>0.44</v>
      </c>
      <c r="F7" s="2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Historical</vt:lpstr>
      <vt:lpstr>Assumptions</vt:lpstr>
      <vt:lpstr>Entry Valuation</vt:lpstr>
      <vt:lpstr>Sources &amp;Uses</vt:lpstr>
      <vt:lpstr>Operating Model</vt:lpstr>
      <vt:lpstr>Debt Schedule</vt:lpstr>
      <vt:lpstr>Return Analysis</vt:lpstr>
      <vt:lpstr>Sensitivity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Aarichsun Batlish</dc:creator>
  <cp:lastModifiedBy>Aarichsun Batlish</cp:lastModifiedBy>
  <dcterms:created xsi:type="dcterms:W3CDTF">2026-06-12T08:55:16Z</dcterms:created>
  <dcterms:modified xsi:type="dcterms:W3CDTF">2026-06-12T14:04:08Z</dcterms:modified>
</cp:coreProperties>
</file>